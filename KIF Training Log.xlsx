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en\Documents\GitHub\Kolding-Data\"/>
    </mc:Choice>
  </mc:AlternateContent>
  <xr:revisionPtr revIDLastSave="0" documentId="13_ncr:1_{A648AFB7-24F3-437B-8B4F-74FE188BDE13}" xr6:coauthVersionLast="47" xr6:coauthVersionMax="47" xr10:uidLastSave="{00000000-0000-0000-0000-000000000000}"/>
  <bookViews>
    <workbookView xWindow="-110" yWindow="-110" windowWidth="25820" windowHeight="15500" xr2:uid="{3BBAEB4D-ADBD-3543-8E36-8ADB13F8F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/>
  <c r="U3" i="1"/>
  <c r="U4" i="1"/>
  <c r="U5" i="1"/>
  <c r="U2" i="1"/>
</calcChain>
</file>

<file path=xl/sharedStrings.xml><?xml version="1.0" encoding="utf-8"?>
<sst xmlns="http://schemas.openxmlformats.org/spreadsheetml/2006/main" count="93" uniqueCount="63">
  <si>
    <t>Nº Drill</t>
  </si>
  <si>
    <t>Date</t>
  </si>
  <si>
    <t>Microcycle</t>
  </si>
  <si>
    <t>Nº Session</t>
  </si>
  <si>
    <t>Opponent</t>
  </si>
  <si>
    <t>Period</t>
  </si>
  <si>
    <t>Match Day</t>
  </si>
  <si>
    <t>Name of the drill</t>
  </si>
  <si>
    <t>Type of Session</t>
  </si>
  <si>
    <t>Day of session</t>
  </si>
  <si>
    <t>Concepts</t>
  </si>
  <si>
    <t>Subconcepts</t>
  </si>
  <si>
    <t>Type of drill</t>
  </si>
  <si>
    <t>Phase of the game</t>
  </si>
  <si>
    <t>Space</t>
  </si>
  <si>
    <t>Time of the drill</t>
  </si>
  <si>
    <t>Nº sets</t>
  </si>
  <si>
    <t>Time between sets</t>
  </si>
  <si>
    <t>GPS DATA</t>
  </si>
  <si>
    <t>Field</t>
  </si>
  <si>
    <t>Lyngby</t>
  </si>
  <si>
    <t>Winter Preseason</t>
  </si>
  <si>
    <t>Monday</t>
  </si>
  <si>
    <t>Offensive roles</t>
  </si>
  <si>
    <t>Def 1</t>
  </si>
  <si>
    <t>Off 1</t>
  </si>
  <si>
    <t>Concept 1, Concept 2</t>
  </si>
  <si>
    <t>SC 1, SC 2, SC 3, SC 4</t>
  </si>
  <si>
    <t>Type 1</t>
  </si>
  <si>
    <t>Organized Attack</t>
  </si>
  <si>
    <t>Off 2</t>
  </si>
  <si>
    <t>Concept 3</t>
  </si>
  <si>
    <t>SC 2, SC 5</t>
  </si>
  <si>
    <t>Type 2</t>
  </si>
  <si>
    <t>Attacking Transition</t>
  </si>
  <si>
    <t>Full pitch</t>
  </si>
  <si>
    <t>Half pitch</t>
  </si>
  <si>
    <t>Drill 1</t>
  </si>
  <si>
    <t>Drill 2</t>
  </si>
  <si>
    <t>Drill 3</t>
  </si>
  <si>
    <t>Def 2</t>
  </si>
  <si>
    <t>Concept 1, Concept 4</t>
  </si>
  <si>
    <t>SC 5, SC 1, SC 3</t>
  </si>
  <si>
    <t>Organized Attack, Defensive Transition</t>
  </si>
  <si>
    <t>Hudl Link</t>
  </si>
  <si>
    <t>www.kolding-if.dk</t>
  </si>
  <si>
    <t>Real time of the drill</t>
  </si>
  <si>
    <t>Time for each set</t>
  </si>
  <si>
    <t>Turkey 1</t>
  </si>
  <si>
    <t>Turkey 2</t>
  </si>
  <si>
    <t>Drill 4</t>
  </si>
  <si>
    <t>Tuesday</t>
  </si>
  <si>
    <t>Off 3</t>
  </si>
  <si>
    <t>Def 3</t>
  </si>
  <si>
    <t>Concept 5, Concept 6</t>
  </si>
  <si>
    <t>SC 2, SC 6, SC 8</t>
  </si>
  <si>
    <t>Type 3</t>
  </si>
  <si>
    <t>Organized Defense</t>
  </si>
  <si>
    <t>Quarter pitch</t>
  </si>
  <si>
    <t>SC 1, SC 4</t>
  </si>
  <si>
    <t>Set Piece</t>
  </si>
  <si>
    <t>Defensive roles</t>
  </si>
  <si>
    <t>-4 Strenght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</si>
</sst>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0" fillId="0" borderId="0" xfId="0" applyNumberFormat="1"/>
    <xf numFmtId="0" fontId="2" fillId="0" borderId="0" xfId="1"/>
    <xf numFmtId="0" fontId="1" fillId="0" borderId="7" xfId="0" applyFont="1" applyBorder="1" applyAlignment="1">
      <alignment horizontal="center" vertic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olding-if.dk/" TargetMode="External"/><Relationship Id="rId2" Type="http://schemas.openxmlformats.org/officeDocument/2006/relationships/hyperlink" Target="http://www.kolding-if.dk/" TargetMode="External"/><Relationship Id="rId1" Type="http://schemas.openxmlformats.org/officeDocument/2006/relationships/hyperlink" Target="http://www.kolding-if.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A04B-6180-174D-B464-DBA151422D7B}">
  <dimension ref="A1:Y6"/>
  <sheetViews>
    <sheetView tabSelected="1" topLeftCell="M1" zoomScale="75" workbookViewId="0">
      <selection activeCell="V14" sqref="V14"/>
    </sheetView>
  </sheetViews>
  <sheetFormatPr defaultColWidth="20.83203125" defaultRowHeight="16" x14ac:dyDescent="0.4"/>
  <sheetData>
    <row r="1" spans="1:25" ht="20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23</v>
      </c>
      <c r="L1" s="4" t="s">
        <v>61</v>
      </c>
      <c r="M1" s="4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9" t="s">
        <v>47</v>
      </c>
      <c r="S1" s="6" t="s">
        <v>16</v>
      </c>
      <c r="T1" s="6" t="s">
        <v>17</v>
      </c>
      <c r="U1" s="6" t="s">
        <v>15</v>
      </c>
      <c r="V1" s="6" t="s">
        <v>46</v>
      </c>
      <c r="W1" s="6" t="s">
        <v>18</v>
      </c>
      <c r="X1" s="6" t="s">
        <v>19</v>
      </c>
      <c r="Y1" s="6" t="s">
        <v>44</v>
      </c>
    </row>
    <row r="2" spans="1:25" x14ac:dyDescent="0.4">
      <c r="A2">
        <v>1</v>
      </c>
      <c r="B2" s="7">
        <v>46058</v>
      </c>
      <c r="C2">
        <v>1</v>
      </c>
      <c r="D2">
        <v>1</v>
      </c>
      <c r="E2" t="s">
        <v>20</v>
      </c>
      <c r="F2" t="s">
        <v>21</v>
      </c>
      <c r="G2">
        <v>18</v>
      </c>
      <c r="H2" t="s">
        <v>37</v>
      </c>
      <c r="I2" s="10" t="s">
        <v>62</v>
      </c>
      <c r="J2" t="s">
        <v>22</v>
      </c>
      <c r="K2" t="s">
        <v>25</v>
      </c>
      <c r="L2" t="s">
        <v>24</v>
      </c>
      <c r="M2" t="s">
        <v>26</v>
      </c>
      <c r="N2" t="s">
        <v>27</v>
      </c>
      <c r="O2" t="s">
        <v>28</v>
      </c>
      <c r="P2" t="s">
        <v>29</v>
      </c>
      <c r="Q2" t="s">
        <v>36</v>
      </c>
      <c r="R2">
        <v>1</v>
      </c>
      <c r="S2">
        <v>10</v>
      </c>
      <c r="T2">
        <v>0.5</v>
      </c>
      <c r="U2">
        <f>(R2*S2)+(T2*(S2-1))</f>
        <v>14.5</v>
      </c>
      <c r="V2">
        <v>18</v>
      </c>
      <c r="X2" t="s">
        <v>48</v>
      </c>
      <c r="Y2" s="8" t="s">
        <v>45</v>
      </c>
    </row>
    <row r="3" spans="1:25" x14ac:dyDescent="0.4">
      <c r="A3">
        <v>2</v>
      </c>
      <c r="B3" s="7">
        <v>46058</v>
      </c>
      <c r="C3">
        <v>1</v>
      </c>
      <c r="D3">
        <v>1</v>
      </c>
      <c r="E3" t="s">
        <v>20</v>
      </c>
      <c r="F3" t="s">
        <v>21</v>
      </c>
      <c r="G3">
        <v>18</v>
      </c>
      <c r="H3" t="s">
        <v>38</v>
      </c>
      <c r="I3" s="10" t="s">
        <v>62</v>
      </c>
      <c r="J3" t="s">
        <v>22</v>
      </c>
      <c r="K3" t="s">
        <v>30</v>
      </c>
      <c r="L3" t="s">
        <v>24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>
        <v>2</v>
      </c>
      <c r="S3">
        <v>5</v>
      </c>
      <c r="T3">
        <v>1</v>
      </c>
      <c r="U3">
        <f t="shared" ref="U3:U5" si="0">(R3*S3)+(T3*(S3-1))</f>
        <v>14</v>
      </c>
      <c r="V3">
        <v>17</v>
      </c>
      <c r="X3" t="s">
        <v>48</v>
      </c>
      <c r="Y3" s="8" t="s">
        <v>45</v>
      </c>
    </row>
    <row r="4" spans="1:25" x14ac:dyDescent="0.4">
      <c r="A4">
        <v>3</v>
      </c>
      <c r="B4" s="7">
        <v>46058</v>
      </c>
      <c r="C4">
        <v>1</v>
      </c>
      <c r="D4">
        <v>1</v>
      </c>
      <c r="E4" t="s">
        <v>20</v>
      </c>
      <c r="F4" t="s">
        <v>21</v>
      </c>
      <c r="G4">
        <v>18</v>
      </c>
      <c r="H4" t="s">
        <v>39</v>
      </c>
      <c r="I4" s="10" t="s">
        <v>62</v>
      </c>
      <c r="J4" t="s">
        <v>22</v>
      </c>
      <c r="K4" t="s">
        <v>25</v>
      </c>
      <c r="L4" t="s">
        <v>40</v>
      </c>
      <c r="M4" t="s">
        <v>41</v>
      </c>
      <c r="N4" t="s">
        <v>42</v>
      </c>
      <c r="O4" t="s">
        <v>28</v>
      </c>
      <c r="P4" t="s">
        <v>43</v>
      </c>
      <c r="Q4" t="s">
        <v>35</v>
      </c>
      <c r="R4">
        <v>0.5</v>
      </c>
      <c r="S4">
        <v>10</v>
      </c>
      <c r="T4">
        <v>1</v>
      </c>
      <c r="U4">
        <f t="shared" si="0"/>
        <v>14</v>
      </c>
      <c r="V4">
        <v>15</v>
      </c>
      <c r="X4" t="s">
        <v>48</v>
      </c>
      <c r="Y4" s="8" t="s">
        <v>45</v>
      </c>
    </row>
    <row r="5" spans="1:25" x14ac:dyDescent="0.4">
      <c r="A5">
        <v>4</v>
      </c>
      <c r="B5" s="7">
        <v>46059</v>
      </c>
      <c r="C5">
        <v>1</v>
      </c>
      <c r="D5">
        <v>2</v>
      </c>
      <c r="E5" t="s">
        <v>20</v>
      </c>
      <c r="F5" t="s">
        <v>21</v>
      </c>
      <c r="G5">
        <v>18</v>
      </c>
      <c r="H5" t="s">
        <v>50</v>
      </c>
      <c r="I5">
        <v>-3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>
        <v>0.5</v>
      </c>
      <c r="S5">
        <v>5</v>
      </c>
      <c r="T5">
        <v>1</v>
      </c>
      <c r="U5">
        <f t="shared" si="0"/>
        <v>6.5</v>
      </c>
      <c r="V5">
        <v>8.5</v>
      </c>
      <c r="X5" t="s">
        <v>49</v>
      </c>
      <c r="Y5" s="8" t="s">
        <v>45</v>
      </c>
    </row>
    <row r="6" spans="1:25" x14ac:dyDescent="0.4">
      <c r="A6">
        <v>6</v>
      </c>
      <c r="B6" s="7">
        <v>46059</v>
      </c>
      <c r="C6">
        <v>1</v>
      </c>
      <c r="D6">
        <v>2</v>
      </c>
      <c r="E6" t="s">
        <v>20</v>
      </c>
      <c r="F6" t="s">
        <v>21</v>
      </c>
      <c r="G6">
        <v>18</v>
      </c>
      <c r="H6" t="s">
        <v>50</v>
      </c>
      <c r="I6">
        <v>-3</v>
      </c>
      <c r="J6" t="s">
        <v>51</v>
      </c>
      <c r="K6" t="s">
        <v>25</v>
      </c>
      <c r="L6" t="s">
        <v>40</v>
      </c>
      <c r="M6" t="s">
        <v>31</v>
      </c>
      <c r="N6" t="s">
        <v>59</v>
      </c>
      <c r="O6" t="s">
        <v>33</v>
      </c>
      <c r="P6" t="s">
        <v>60</v>
      </c>
      <c r="Q6" t="s">
        <v>36</v>
      </c>
      <c r="R6">
        <v>0.75</v>
      </c>
      <c r="S6">
        <v>8</v>
      </c>
      <c r="T6">
        <v>0.5</v>
      </c>
      <c r="U6">
        <f t="shared" ref="U6" si="1">(R6*S6)+(T6*(S6-1))</f>
        <v>9.5</v>
      </c>
      <c r="V6">
        <v>10</v>
      </c>
      <c r="X6" t="s">
        <v>49</v>
      </c>
      <c r="Y6" s="8" t="s">
        <v>45</v>
      </c>
    </row>
  </sheetData>
  <hyperlinks>
    <hyperlink ref="Y2" r:id="rId1" xr:uid="{CF420BEA-53D8-4EA7-BEDC-5E39C9A881DD}"/>
    <hyperlink ref="Y3:Y5" r:id="rId2" display="www.kolding-if.dk" xr:uid="{2B65C98F-F34E-4AAE-AA33-F07EE41C674F}"/>
    <hyperlink ref="Y6" r:id="rId3" xr:uid="{5EFBD91C-E07B-4E62-B0D9-9211CB7507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Mora</dc:creator>
  <cp:lastModifiedBy>Ben Griffis</cp:lastModifiedBy>
  <dcterms:created xsi:type="dcterms:W3CDTF">2026-02-05T06:11:22Z</dcterms:created>
  <dcterms:modified xsi:type="dcterms:W3CDTF">2026-02-06T14:23:41Z</dcterms:modified>
</cp:coreProperties>
</file>